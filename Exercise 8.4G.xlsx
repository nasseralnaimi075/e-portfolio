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031a540df2dda1/CIS/"/>
    </mc:Choice>
  </mc:AlternateContent>
  <xr:revisionPtr revIDLastSave="0" documentId="8_{DECE7E91-CB08-4248-9404-605ECA706912}" xr6:coauthVersionLast="47" xr6:coauthVersionMax="47" xr10:uidLastSave="{00000000-0000-0000-0000-000000000000}"/>
  <bookViews>
    <workbookView xWindow="7170" yWindow="45" windowWidth="11190" windowHeight="1083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0" i="1"/>
  <c r="F25" i="1"/>
  <c r="F24" i="1"/>
  <c r="F23" i="1"/>
  <c r="F5" i="1"/>
  <c r="F4" i="1"/>
  <c r="F3" i="1"/>
</calcChain>
</file>

<file path=xl/sharedStrings.xml><?xml version="1.0" encoding="utf-8"?>
<sst xmlns="http://schemas.openxmlformats.org/spreadsheetml/2006/main" count="21" uniqueCount="16">
  <si>
    <t>Batch</t>
  </si>
  <si>
    <t>Agent1</t>
  </si>
  <si>
    <t>Agent2</t>
  </si>
  <si>
    <t>n</t>
  </si>
  <si>
    <t>Mean</t>
  </si>
  <si>
    <t>SD</t>
  </si>
  <si>
    <t xml:space="preserve">μA = Population mean for Agent1 </t>
  </si>
  <si>
    <t xml:space="preserve">μB = Population mean for Agent2  </t>
  </si>
  <si>
    <t xml:space="preserve">H₀: </t>
  </si>
  <si>
    <t xml:space="preserve">μA = μB  </t>
  </si>
  <si>
    <t>Ha:</t>
  </si>
  <si>
    <t xml:space="preserve">μA ≠ μB  </t>
  </si>
  <si>
    <t>SE</t>
  </si>
  <si>
    <t>t-stat</t>
  </si>
  <si>
    <t>P-value</t>
  </si>
  <si>
    <r>
      <t xml:space="preserve">Ha is </t>
    </r>
    <r>
      <rPr>
        <b/>
        <sz val="10"/>
        <rFont val="Arial"/>
        <family val="2"/>
      </rPr>
      <t>rejected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</si>
</sst>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H17" sqref="H17"/>
    </sheetView>
  </sheetViews>
  <sheetFormatPr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</row>
    <row r="2" spans="1:10" x14ac:dyDescent="0.2">
      <c r="A2" s="1">
        <v>1</v>
      </c>
      <c r="B2" s="1">
        <v>7.7</v>
      </c>
      <c r="C2" s="1">
        <v>8.5</v>
      </c>
    </row>
    <row r="3" spans="1:10" x14ac:dyDescent="0.2">
      <c r="A3" s="1">
        <v>2</v>
      </c>
      <c r="B3" s="1">
        <v>9.1999999999999993</v>
      </c>
      <c r="C3" s="1">
        <v>9.6</v>
      </c>
      <c r="D3" s="2" t="s">
        <v>1</v>
      </c>
      <c r="E3" s="2" t="s">
        <v>3</v>
      </c>
      <c r="F3" s="1">
        <f>COUNT(B2:B13)</f>
        <v>12</v>
      </c>
      <c r="I3" t="s">
        <v>6</v>
      </c>
    </row>
    <row r="4" spans="1:10" x14ac:dyDescent="0.2">
      <c r="A4" s="1">
        <v>3</v>
      </c>
      <c r="B4" s="1">
        <v>6.8</v>
      </c>
      <c r="C4" s="1">
        <v>6.4</v>
      </c>
      <c r="E4" s="2" t="s">
        <v>4</v>
      </c>
      <c r="F4" s="3">
        <f>AVERAGE(B2:B13)</f>
        <v>8.2500000000000018</v>
      </c>
      <c r="I4" t="s">
        <v>7</v>
      </c>
    </row>
    <row r="5" spans="1:10" x14ac:dyDescent="0.2">
      <c r="A5" s="1">
        <v>4</v>
      </c>
      <c r="B5" s="1">
        <v>9.5</v>
      </c>
      <c r="C5" s="1">
        <v>9.8000000000000007</v>
      </c>
      <c r="E5" s="2" t="s">
        <v>5</v>
      </c>
      <c r="F5" s="3">
        <f>STDEV(B2:B13)</f>
        <v>1.0291214258244146</v>
      </c>
    </row>
    <row r="6" spans="1:10" x14ac:dyDescent="0.2">
      <c r="A6" s="1">
        <v>5</v>
      </c>
      <c r="B6" s="1">
        <v>8.6999999999999993</v>
      </c>
      <c r="C6" s="1">
        <v>9.3000000000000007</v>
      </c>
    </row>
    <row r="7" spans="1:10" x14ac:dyDescent="0.2">
      <c r="A7" s="1">
        <v>6</v>
      </c>
      <c r="B7" s="1">
        <v>6.9</v>
      </c>
      <c r="C7" s="1">
        <v>7.6</v>
      </c>
      <c r="I7" t="s">
        <v>8</v>
      </c>
      <c r="J7" t="s">
        <v>9</v>
      </c>
    </row>
    <row r="8" spans="1:10" x14ac:dyDescent="0.2">
      <c r="A8" s="1">
        <v>7</v>
      </c>
      <c r="B8" s="1">
        <v>7.5</v>
      </c>
      <c r="C8" s="1">
        <v>8.1999999999999993</v>
      </c>
      <c r="I8" t="s">
        <v>10</v>
      </c>
      <c r="J8" t="s">
        <v>11</v>
      </c>
    </row>
    <row r="9" spans="1:10" x14ac:dyDescent="0.2">
      <c r="A9" s="1">
        <v>8</v>
      </c>
      <c r="B9" s="1">
        <v>7.1</v>
      </c>
      <c r="C9" s="1">
        <v>7.7</v>
      </c>
    </row>
    <row r="10" spans="1:10" x14ac:dyDescent="0.2">
      <c r="A10" s="1">
        <v>9</v>
      </c>
      <c r="B10" s="1">
        <v>8.6999999999999993</v>
      </c>
      <c r="C10" s="1">
        <v>9.4</v>
      </c>
      <c r="H10" s="4" t="s">
        <v>12</v>
      </c>
      <c r="I10">
        <f>SQRT(F5^2/F3+F25^2/F23)</f>
        <v>0.42199621808827215</v>
      </c>
    </row>
    <row r="11" spans="1:10" x14ac:dyDescent="0.2">
      <c r="A11" s="1">
        <v>10</v>
      </c>
      <c r="B11" s="1">
        <v>9.4</v>
      </c>
      <c r="C11" s="1">
        <v>8.9</v>
      </c>
    </row>
    <row r="12" spans="1:10" x14ac:dyDescent="0.2">
      <c r="A12" s="1">
        <v>11</v>
      </c>
      <c r="B12" s="1">
        <v>9.4</v>
      </c>
      <c r="C12" s="1">
        <v>9.6999999999999993</v>
      </c>
    </row>
    <row r="13" spans="1:10" x14ac:dyDescent="0.2">
      <c r="A13" s="1">
        <v>12</v>
      </c>
      <c r="B13" s="1">
        <v>8.1</v>
      </c>
      <c r="C13" s="1">
        <v>9.1</v>
      </c>
      <c r="H13" s="4" t="s">
        <v>13</v>
      </c>
      <c r="I13">
        <f>(F4-F24)/I10</f>
        <v>-1.0268654427672814</v>
      </c>
    </row>
    <row r="15" spans="1:10" x14ac:dyDescent="0.2">
      <c r="H15" s="4" t="s">
        <v>14</v>
      </c>
      <c r="I15">
        <v>0.32719999999999999</v>
      </c>
    </row>
    <row r="17" spans="4:8" x14ac:dyDescent="0.2">
      <c r="H17" s="4" t="s">
        <v>15</v>
      </c>
    </row>
    <row r="23" spans="4:8" x14ac:dyDescent="0.2">
      <c r="D23" s="2" t="s">
        <v>2</v>
      </c>
      <c r="E23" s="2" t="s">
        <v>3</v>
      </c>
      <c r="F23" s="1">
        <f>COUNT(C2:C13)</f>
        <v>12</v>
      </c>
    </row>
    <row r="24" spans="4:8" x14ac:dyDescent="0.2">
      <c r="E24" s="2" t="s">
        <v>4</v>
      </c>
      <c r="F24" s="3">
        <f>AVERAGE(C2:C13)</f>
        <v>8.6833333333333336</v>
      </c>
    </row>
    <row r="25" spans="4:8" x14ac:dyDescent="0.2">
      <c r="E25" s="2" t="s">
        <v>5</v>
      </c>
      <c r="F25" s="3">
        <f>STDEV(C2:C13)</f>
        <v>1.0382094142699627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2006-09-19T08:23:28Z</dcterms:created>
  <dcterms:modified xsi:type="dcterms:W3CDTF">2025-07-18T12:28:54Z</dcterms:modified>
  <cp:category/>
  <cp:contentStatus/>
</cp:coreProperties>
</file>